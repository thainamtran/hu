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240" yWindow="135" windowWidth="21075" windowHeight="9210" activeTab="3"/>
  </bookViews>
  <sheets>
    <sheet name="Intro Info" sheetId="2" r:id="rId1"/>
    <sheet name="Work" sheetId="1" r:id="rId2"/>
    <sheet name="Sheet3" sheetId="3" r:id="rId3"/>
    <sheet name="Sheet1" sheetId="4" r:id="rId4"/>
  </sheets>
  <definedNames>
    <definedName name="_xlnm._FilterDatabase" localSheetId="1" hidden="1">Work!$A$1:$J$1</definedName>
    <definedName name="solver_adj" localSheetId="1" hidden="1">Work!#REF!</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lhs1" localSheetId="1" hidden="1">Work!#REF!</definedName>
    <definedName name="solver_lhs2" localSheetId="1" hidden="1">Work!#REF!</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1</definedName>
    <definedName name="solver_nwt" localSheetId="1" hidden="1">1</definedName>
    <definedName name="solver_opt" localSheetId="1" hidden="1">Work!#REF!</definedName>
    <definedName name="solver_pre" localSheetId="1" hidden="1">0.000001</definedName>
    <definedName name="solver_rbv" localSheetId="1" hidden="1">2</definedName>
    <definedName name="solver_rel1" localSheetId="1" hidden="1">3</definedName>
    <definedName name="solver_rel2" localSheetId="1" hidden="1">1</definedName>
    <definedName name="solver_rhs1" localSheetId="1" hidden="1">Work!#REF!</definedName>
    <definedName name="solver_rhs2" localSheetId="1" hidden="1">Work!$J$11</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s>
  <calcPr calcId="145621"/>
</workbook>
</file>

<file path=xl/calcChain.xml><?xml version="1.0" encoding="utf-8"?>
<calcChain xmlns="http://schemas.openxmlformats.org/spreadsheetml/2006/main">
  <c r="F6" i="3" l="1"/>
  <c r="F5" i="3"/>
  <c r="F4" i="3"/>
  <c r="F3" i="3"/>
  <c r="F2" i="3"/>
  <c r="E4" i="3"/>
  <c r="E3" i="3"/>
  <c r="E2" i="3"/>
  <c r="D6" i="3"/>
  <c r="D5" i="3"/>
  <c r="D4" i="3"/>
  <c r="D3" i="3"/>
  <c r="D2" i="3"/>
  <c r="C6" i="3"/>
  <c r="C5" i="3"/>
  <c r="C4" i="3"/>
  <c r="C3" i="3"/>
  <c r="C2" i="3"/>
  <c r="B26" i="1" l="1"/>
  <c r="B24" i="1"/>
  <c r="E5" i="1"/>
  <c r="E3" i="1"/>
  <c r="E15" i="1" s="1"/>
  <c r="E18" i="1" s="1"/>
  <c r="E4" i="1"/>
  <c r="E11" i="1"/>
  <c r="E2" i="1"/>
  <c r="E9" i="1"/>
  <c r="E12" i="1"/>
  <c r="E7" i="1"/>
  <c r="E6" i="1"/>
  <c r="E8" i="1"/>
  <c r="E10" i="1"/>
  <c r="G7" i="1" l="1"/>
  <c r="E14" i="1"/>
  <c r="G2" i="1" s="1"/>
  <c r="G11" i="1"/>
  <c r="G3" i="1"/>
  <c r="G9" i="1"/>
  <c r="E16" i="1"/>
  <c r="E19" i="1" s="1"/>
  <c r="G12" i="1"/>
  <c r="G8" i="1"/>
  <c r="C14" i="1"/>
  <c r="C15" i="1" s="1"/>
  <c r="B14" i="1"/>
  <c r="B15" i="1" s="1"/>
  <c r="B28" i="1" l="1"/>
  <c r="G5" i="1"/>
  <c r="G6" i="1"/>
  <c r="G4" i="1"/>
  <c r="G10" i="1"/>
  <c r="D10" i="1"/>
  <c r="D6" i="1"/>
  <c r="D5" i="1"/>
  <c r="D3" i="1"/>
  <c r="D4" i="1"/>
  <c r="D11" i="1"/>
  <c r="D2" i="1"/>
  <c r="D9" i="1"/>
  <c r="D12" i="1"/>
  <c r="D7" i="1"/>
  <c r="D8" i="1"/>
  <c r="D14" i="1" l="1"/>
  <c r="D15" i="1" s="1"/>
</calcChain>
</file>

<file path=xl/sharedStrings.xml><?xml version="1.0" encoding="utf-8"?>
<sst xmlns="http://schemas.openxmlformats.org/spreadsheetml/2006/main" count="36" uniqueCount="36">
  <si>
    <t>Product</t>
  </si>
  <si>
    <t>Forecast</t>
  </si>
  <si>
    <t>Actual Sales</t>
  </si>
  <si>
    <t>Retailers such as sears must determine at the beginning of a season how many to order of fashion goods such as sweaters, dresses, and shoes. The problem is that the demand for these products is virtually unknown at the beginning of the season. Consider the following example.</t>
  </si>
  <si>
    <t>Sears is trying to decide how many sweaters to order for the current season. An order must be placed now at the beginning of the season. It costs $9 per sweater to order. Sweaters are sold for $20 per unit. At the end of the season sweaters may be sold overseas for $4. Sears buyers have estimated that this season’s sales will equal 200 units.</t>
  </si>
  <si>
    <t xml:space="preserve">Variance from Forecast </t>
  </si>
  <si>
    <t>Total</t>
  </si>
  <si>
    <t>Average</t>
  </si>
  <si>
    <t>Ratio</t>
  </si>
  <si>
    <t>Expected demand</t>
  </si>
  <si>
    <t>Expected St. Dev</t>
  </si>
  <si>
    <t>average</t>
  </si>
  <si>
    <t>stdev</t>
  </si>
  <si>
    <t>Demand (200 forecast)</t>
  </si>
  <si>
    <t>MP *F(Q) = ML *F(Q)</t>
  </si>
  <si>
    <t>critical ratio</t>
  </si>
  <si>
    <t>Normal Distribution with mean 190 and st dev of 35</t>
  </si>
  <si>
    <t>-&gt; closest Ratio is at 37.97%</t>
  </si>
  <si>
    <t>Q=Forecasat*Ratio</t>
  </si>
  <si>
    <t>Percentile</t>
  </si>
  <si>
    <t>Ranks</t>
  </si>
  <si>
    <t xml:space="preserve">z- score of critical ratio </t>
  </si>
  <si>
    <t>Q=M+Z*s</t>
  </si>
  <si>
    <t>* should order 212 based on normal distribution of the ratio of sales to forecast and factoring in critical value for when marginal profit equals marginal costs</t>
  </si>
  <si>
    <t xml:space="preserve">simplistic answer </t>
  </si>
  <si>
    <t xml:space="preserve"> </t>
  </si>
  <si>
    <t xml:space="preserve">*multiplied mean of 190 * z-score from table of .62 times st dev (35) of the normalized ratios above. </t>
  </si>
  <si>
    <t>F(Q) = ML/(MP+ML)</t>
  </si>
  <si>
    <t>Actual Demand</t>
  </si>
  <si>
    <t>Ordered</t>
  </si>
  <si>
    <t>Sold @ 20$</t>
  </si>
  <si>
    <t>Cost</t>
  </si>
  <si>
    <t>Sold @ $4</t>
  </si>
  <si>
    <t>Profit</t>
  </si>
  <si>
    <t>plant 1</t>
  </si>
  <si>
    <t>plant 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</si>
</sst>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_(&quot;$&quot;* #,##0_);_(&quot;$&quot;* \(#,##0\);_(&quot;$&quot;* &quot;-&quot;??_);_(@_)"/>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2"/>
      <color theme="1"/>
      <name val="Times New Roman"/>
      <family val="1"/>
    </font>
  </fonts>
  <fills count="3">
    <fill>
      <patternFill patternType="none"/>
    </fill>
    <fill>
      <patternFill patternType="gray125"/>
    </fill>
    <fill>
      <patternFill patternType="solid">
        <fgColor rgb="FF92D050"/>
        <bgColor indexed="64"/>
      </patternFill>
    </fill>
  </fills>
  <borders count="9">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3">
    <xf numFmtId="0" fontId="0" fillId="0" borderId="0" xfId="0"/>
    <xf numFmtId="0" fontId="2" fillId="0" borderId="0" xfId="0" applyFont="1"/>
    <xf numFmtId="0" fontId="3" fillId="0" borderId="0" xfId="0" applyFont="1" applyAlignment="1">
      <alignment vertical="center" wrapText="1"/>
    </xf>
    <xf numFmtId="164" fontId="0" fillId="0" borderId="0" xfId="1" applyNumberFormat="1" applyFont="1"/>
    <xf numFmtId="1" fontId="0" fillId="0" borderId="0" xfId="0" applyNumberFormat="1"/>
    <xf numFmtId="0" fontId="0" fillId="0" borderId="0" xfId="0" applyBorder="1"/>
    <xf numFmtId="0" fontId="0" fillId="0" borderId="1" xfId="0" applyBorder="1"/>
    <xf numFmtId="164" fontId="0" fillId="0" borderId="0" xfId="1" applyNumberFormat="1" applyFont="1" applyBorder="1"/>
    <xf numFmtId="10" fontId="0" fillId="0" borderId="0" xfId="2" applyNumberFormat="1" applyFont="1"/>
    <xf numFmtId="10" fontId="0" fillId="0" borderId="1" xfId="2" applyNumberFormat="1" applyFont="1" applyBorder="1"/>
    <xf numFmtId="0" fontId="2" fillId="0" borderId="1" xfId="0" applyFont="1" applyBorder="1"/>
    <xf numFmtId="0" fontId="2" fillId="0" borderId="0" xfId="0" applyFont="1" applyBorder="1"/>
    <xf numFmtId="2" fontId="0" fillId="0" borderId="0" xfId="0" applyNumberFormat="1"/>
    <xf numFmtId="0" fontId="2" fillId="2" borderId="0" xfId="0" applyFont="1" applyFill="1"/>
    <xf numFmtId="164" fontId="0" fillId="0" borderId="0" xfId="0" applyNumberFormat="1"/>
    <xf numFmtId="0" fontId="0" fillId="0" borderId="2" xfId="0" applyBorder="1"/>
    <xf numFmtId="0" fontId="0" fillId="0" borderId="3" xfId="0" applyBorder="1"/>
    <xf numFmtId="1" fontId="0" fillId="0" borderId="4" xfId="0" applyNumberFormat="1" applyBorder="1"/>
    <xf numFmtId="0" fontId="0" fillId="0" borderId="5" xfId="0" applyBorder="1"/>
    <xf numFmtId="1" fontId="0" fillId="0" borderId="6" xfId="0" applyNumberFormat="1" applyBorder="1"/>
    <xf numFmtId="0" fontId="0" fillId="0" borderId="0" xfId="0" applyFont="1"/>
    <xf numFmtId="10" fontId="0" fillId="0" borderId="0" xfId="2" applyNumberFormat="1" applyFont="1" applyBorder="1"/>
    <xf numFmtId="1" fontId="0" fillId="0" borderId="0" xfId="1" applyNumberFormat="1" applyFont="1" applyBorder="1"/>
    <xf numFmtId="2" fontId="0" fillId="0" borderId="0" xfId="2" applyNumberFormat="1" applyFont="1"/>
    <xf numFmtId="2" fontId="0" fillId="0" borderId="0" xfId="2" applyNumberFormat="1" applyFont="1" applyBorder="1"/>
    <xf numFmtId="2" fontId="0" fillId="0" borderId="1" xfId="2" applyNumberFormat="1" applyFont="1" applyBorder="1"/>
    <xf numFmtId="2" fontId="0" fillId="0" borderId="0" xfId="0" applyNumberFormat="1" applyBorder="1"/>
    <xf numFmtId="0" fontId="0" fillId="0" borderId="0" xfId="0" quotePrefix="1"/>
    <xf numFmtId="1" fontId="0" fillId="0" borderId="0" xfId="0" applyNumberFormat="1" applyFont="1"/>
    <xf numFmtId="0" fontId="2" fillId="0" borderId="7" xfId="0" applyFont="1" applyBorder="1"/>
    <xf numFmtId="0" fontId="2" fillId="0" borderId="8" xfId="0" applyFont="1" applyBorder="1"/>
    <xf numFmtId="1" fontId="0" fillId="0" borderId="1" xfId="1" applyNumberFormat="1" applyFont="1" applyBorder="1"/>
    <xf numFmtId="1" fontId="0" fillId="2" borderId="0" xfId="0" applyNumberFormat="1" applyFont="1" applyFill="1"/>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workbookViewId="0">
      <selection activeCell="A2" sqref="A2"/>
    </sheetView>
  </sheetViews>
  <sheetFormatPr defaultRowHeight="15" x14ac:dyDescent="0.25"/>
  <cols>
    <col min="1" max="1" width="76.28515625" customWidth="1"/>
  </cols>
  <sheetData>
    <row r="1" spans="1:1" ht="63" x14ac:dyDescent="0.25">
      <c r="A1" s="2" t="s">
        <v>3</v>
      </c>
    </row>
    <row r="2" spans="1:1" ht="78.75" x14ac:dyDescent="0.25">
      <c r="A2" s="2" t="s">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3"/>
  <sheetViews>
    <sheetView zoomScale="115" zoomScaleNormal="115" workbookViewId="0">
      <selection activeCell="A5" sqref="A5:B5"/>
    </sheetView>
  </sheetViews>
  <sheetFormatPr defaultRowHeight="15" x14ac:dyDescent="0.25"/>
  <cols>
    <col min="1" max="1" width="21.140625" bestFit="1" customWidth="1"/>
    <col min="2" max="2" width="14" bestFit="1" customWidth="1"/>
    <col min="3" max="3" width="20.140625" bestFit="1" customWidth="1"/>
    <col min="4" max="4" width="21.7109375" bestFit="1" customWidth="1"/>
    <col min="5" max="5" width="21.7109375" customWidth="1"/>
    <col min="6" max="6" width="13.7109375" bestFit="1" customWidth="1"/>
    <col min="7" max="7" width="17" customWidth="1"/>
    <col min="8" max="9" width="19.42578125" customWidth="1"/>
    <col min="11" max="11" width="15.140625" customWidth="1"/>
  </cols>
  <sheetData>
    <row r="1" spans="1:10" x14ac:dyDescent="0.25">
      <c r="A1" s="10" t="s">
        <v>0</v>
      </c>
      <c r="B1" s="10" t="s">
        <v>1</v>
      </c>
      <c r="C1" s="10" t="s">
        <v>2</v>
      </c>
      <c r="D1" s="10" t="s">
        <v>5</v>
      </c>
      <c r="E1" s="10" t="s">
        <v>8</v>
      </c>
      <c r="F1" s="29" t="s">
        <v>20</v>
      </c>
      <c r="G1" s="30" t="s">
        <v>19</v>
      </c>
      <c r="H1" s="11"/>
      <c r="I1" s="11"/>
    </row>
    <row r="2" spans="1:10" x14ac:dyDescent="0.25">
      <c r="A2">
        <v>7</v>
      </c>
      <c r="B2">
        <v>120</v>
      </c>
      <c r="C2">
        <v>74</v>
      </c>
      <c r="D2">
        <f t="shared" ref="D2:D12" si="0">C2-B2</f>
        <v>-46</v>
      </c>
      <c r="E2" s="23">
        <f t="shared" ref="E2:E12" si="1">C2/B2</f>
        <v>0.6166666666666667</v>
      </c>
      <c r="F2" s="22">
        <v>1</v>
      </c>
      <c r="G2" s="21">
        <f>E2/$E$14</f>
        <v>5.9108150535424862E-2</v>
      </c>
      <c r="H2" s="7"/>
      <c r="I2" s="3"/>
    </row>
    <row r="3" spans="1:10" x14ac:dyDescent="0.25">
      <c r="A3">
        <v>10</v>
      </c>
      <c r="B3">
        <v>450</v>
      </c>
      <c r="C3">
        <v>349</v>
      </c>
      <c r="D3">
        <f t="shared" si="0"/>
        <v>-101</v>
      </c>
      <c r="E3" s="23">
        <f t="shared" si="1"/>
        <v>0.77555555555555555</v>
      </c>
      <c r="F3" s="22">
        <v>2</v>
      </c>
      <c r="G3" s="21">
        <f>SUM($E$2:E3)/$E$14</f>
        <v>0.1334459686862835</v>
      </c>
      <c r="H3" s="7"/>
      <c r="I3" s="3"/>
    </row>
    <row r="4" spans="1:10" x14ac:dyDescent="0.25">
      <c r="A4">
        <v>9</v>
      </c>
      <c r="B4">
        <v>230</v>
      </c>
      <c r="C4">
        <v>189</v>
      </c>
      <c r="D4">
        <f t="shared" si="0"/>
        <v>-41</v>
      </c>
      <c r="E4" s="23">
        <f t="shared" si="1"/>
        <v>0.82173913043478264</v>
      </c>
      <c r="F4" s="22">
        <v>3</v>
      </c>
      <c r="G4" s="21">
        <f>SUM($E$2:E4)/$E$14</f>
        <v>0.21221053120939959</v>
      </c>
      <c r="H4" s="7"/>
      <c r="I4" s="3"/>
    </row>
    <row r="5" spans="1:10" x14ac:dyDescent="0.25">
      <c r="A5" s="5">
        <v>11</v>
      </c>
      <c r="B5" s="5">
        <v>390</v>
      </c>
      <c r="C5" s="5">
        <v>324</v>
      </c>
      <c r="D5" s="5">
        <f t="shared" si="0"/>
        <v>-66</v>
      </c>
      <c r="E5" s="24">
        <f t="shared" si="1"/>
        <v>0.83076923076923082</v>
      </c>
      <c r="F5" s="22">
        <v>4</v>
      </c>
      <c r="G5" s="21">
        <f>SUM($E$2:E5)/$E$14</f>
        <v>0.29184063837562685</v>
      </c>
      <c r="H5" s="7"/>
      <c r="I5" s="3"/>
    </row>
    <row r="6" spans="1:10" x14ac:dyDescent="0.25">
      <c r="A6">
        <v>3</v>
      </c>
      <c r="B6">
        <v>360</v>
      </c>
      <c r="C6">
        <v>330</v>
      </c>
      <c r="D6">
        <f t="shared" si="0"/>
        <v>-30</v>
      </c>
      <c r="E6" s="23">
        <f t="shared" si="1"/>
        <v>0.91666666666666663</v>
      </c>
      <c r="F6" s="22">
        <v>5</v>
      </c>
      <c r="G6" s="21">
        <f>SUM($E$2:E6)/$E$14</f>
        <v>0.37970410538774485</v>
      </c>
      <c r="H6" s="7"/>
      <c r="I6" s="3"/>
    </row>
    <row r="7" spans="1:10" x14ac:dyDescent="0.25">
      <c r="A7">
        <v>4</v>
      </c>
      <c r="B7">
        <v>320</v>
      </c>
      <c r="C7">
        <v>299</v>
      </c>
      <c r="D7">
        <f t="shared" si="0"/>
        <v>-21</v>
      </c>
      <c r="E7" s="23">
        <f t="shared" si="1"/>
        <v>0.93437499999999996</v>
      </c>
      <c r="F7" s="22">
        <v>6</v>
      </c>
      <c r="G7" s="21">
        <f>SUM($E$2:E7)/$E$14</f>
        <v>0.4692649348307788</v>
      </c>
      <c r="H7" s="7"/>
      <c r="I7" s="3"/>
    </row>
    <row r="8" spans="1:10" x14ac:dyDescent="0.25">
      <c r="A8">
        <v>2</v>
      </c>
      <c r="B8">
        <v>310</v>
      </c>
      <c r="C8">
        <v>319</v>
      </c>
      <c r="D8">
        <f t="shared" si="0"/>
        <v>9</v>
      </c>
      <c r="E8" s="23">
        <f t="shared" si="1"/>
        <v>1.0290322580645161</v>
      </c>
      <c r="F8" s="22">
        <v>7</v>
      </c>
      <c r="G8" s="21">
        <f>SUM($E$2:E8)/$E$14</f>
        <v>0.56789876231534997</v>
      </c>
      <c r="H8" s="7"/>
      <c r="I8" s="3"/>
    </row>
    <row r="9" spans="1:10" x14ac:dyDescent="0.25">
      <c r="A9">
        <v>6</v>
      </c>
      <c r="B9">
        <v>340</v>
      </c>
      <c r="C9">
        <v>351</v>
      </c>
      <c r="D9">
        <f t="shared" si="0"/>
        <v>11</v>
      </c>
      <c r="E9" s="23">
        <f t="shared" si="1"/>
        <v>1.0323529411764707</v>
      </c>
      <c r="F9" s="22">
        <v>8</v>
      </c>
      <c r="G9" s="21">
        <f>SUM($E$2:E9)/$E$14</f>
        <v>0.6668508807792648</v>
      </c>
      <c r="H9" s="7"/>
      <c r="I9" s="3"/>
    </row>
    <row r="10" spans="1:10" x14ac:dyDescent="0.25">
      <c r="A10">
        <v>1</v>
      </c>
      <c r="B10">
        <v>125</v>
      </c>
      <c r="C10">
        <v>133</v>
      </c>
      <c r="D10">
        <f t="shared" si="0"/>
        <v>8</v>
      </c>
      <c r="E10" s="23">
        <f t="shared" si="1"/>
        <v>1.0640000000000001</v>
      </c>
      <c r="F10" s="22">
        <v>9</v>
      </c>
      <c r="G10" s="21">
        <f>SUM($E$2:E10)/$E$14</f>
        <v>0.76883640321660318</v>
      </c>
      <c r="H10" s="7"/>
      <c r="I10" s="3"/>
    </row>
    <row r="11" spans="1:10" x14ac:dyDescent="0.25">
      <c r="A11">
        <v>8</v>
      </c>
      <c r="B11">
        <v>190</v>
      </c>
      <c r="C11">
        <v>226</v>
      </c>
      <c r="D11">
        <f t="shared" si="0"/>
        <v>36</v>
      </c>
      <c r="E11" s="23">
        <f t="shared" si="1"/>
        <v>1.1894736842105262</v>
      </c>
      <c r="F11" s="22">
        <v>10</v>
      </c>
      <c r="G11" s="21">
        <f>SUM($E$2:E11)/$E$14</f>
        <v>0.88284871065050941</v>
      </c>
      <c r="H11" s="7"/>
      <c r="I11" s="3"/>
      <c r="J11" s="4"/>
    </row>
    <row r="12" spans="1:10" x14ac:dyDescent="0.25">
      <c r="A12" s="6">
        <v>5</v>
      </c>
      <c r="B12" s="6">
        <v>135</v>
      </c>
      <c r="C12" s="6">
        <v>165</v>
      </c>
      <c r="D12" s="6">
        <f t="shared" si="0"/>
        <v>30</v>
      </c>
      <c r="E12" s="25">
        <f t="shared" si="1"/>
        <v>1.2222222222222223</v>
      </c>
      <c r="F12" s="31">
        <v>11</v>
      </c>
      <c r="G12" s="9">
        <f>SUM($E$2:E12)/$E$14</f>
        <v>1</v>
      </c>
      <c r="H12" s="7"/>
      <c r="I12" s="7"/>
    </row>
    <row r="13" spans="1:10" x14ac:dyDescent="0.25">
      <c r="A13" s="5"/>
      <c r="B13" s="5"/>
      <c r="C13" s="5"/>
      <c r="D13" s="5"/>
      <c r="F13" s="5"/>
      <c r="G13" s="7"/>
      <c r="H13" s="7"/>
      <c r="I13" s="7"/>
    </row>
    <row r="14" spans="1:10" x14ac:dyDescent="0.25">
      <c r="A14" s="1" t="s">
        <v>6</v>
      </c>
      <c r="B14">
        <f>SUM(B2:B13)</f>
        <v>2970</v>
      </c>
      <c r="C14">
        <f>SUM(C2:C13)</f>
        <v>2759</v>
      </c>
      <c r="D14">
        <f>SUM(D2:D13)</f>
        <v>-211</v>
      </c>
      <c r="E14" s="26">
        <f>SUM(E2:E12)</f>
        <v>10.432853355766635</v>
      </c>
      <c r="F14" s="7"/>
      <c r="G14" s="7"/>
      <c r="H14" s="7"/>
      <c r="I14" s="3"/>
    </row>
    <row r="15" spans="1:10" x14ac:dyDescent="0.25">
      <c r="A15" s="1" t="s">
        <v>7</v>
      </c>
      <c r="B15" s="4">
        <f>B14/11</f>
        <v>270</v>
      </c>
      <c r="C15" s="4">
        <f>C14/11</f>
        <v>250.81818181818181</v>
      </c>
      <c r="D15" s="4">
        <f>D14/11</f>
        <v>-19.181818181818183</v>
      </c>
      <c r="E15" s="12">
        <f>AVERAGE(E2:E12)</f>
        <v>0.94844121416060323</v>
      </c>
      <c r="F15" s="7" t="s">
        <v>11</v>
      </c>
      <c r="G15" s="7"/>
      <c r="H15" s="7"/>
    </row>
    <row r="16" spans="1:10" x14ac:dyDescent="0.25">
      <c r="E16" s="23">
        <f>_xlfn.STDEV.P(E2:E12)</f>
        <v>0.17347098644695616</v>
      </c>
      <c r="F16" t="s">
        <v>12</v>
      </c>
    </row>
    <row r="17" spans="1:7" x14ac:dyDescent="0.25">
      <c r="A17" s="1" t="s">
        <v>13</v>
      </c>
      <c r="E17" s="8"/>
    </row>
    <row r="18" spans="1:7" x14ac:dyDescent="0.25">
      <c r="A18" s="15" t="s">
        <v>9</v>
      </c>
      <c r="B18" s="16"/>
      <c r="C18" s="16"/>
      <c r="D18" s="16"/>
      <c r="E18" s="17">
        <f>200*E15</f>
        <v>189.68824283212064</v>
      </c>
      <c r="G18" s="14"/>
    </row>
    <row r="19" spans="1:7" x14ac:dyDescent="0.25">
      <c r="A19" s="18" t="s">
        <v>10</v>
      </c>
      <c r="B19" s="6"/>
      <c r="C19" s="6"/>
      <c r="D19" s="6"/>
      <c r="E19" s="19">
        <f>E16*200</f>
        <v>34.694197289391234</v>
      </c>
      <c r="G19" s="14"/>
    </row>
    <row r="20" spans="1:7" x14ac:dyDescent="0.25">
      <c r="D20" t="s">
        <v>16</v>
      </c>
      <c r="G20" s="14"/>
    </row>
    <row r="21" spans="1:7" x14ac:dyDescent="0.25">
      <c r="G21" s="14"/>
    </row>
    <row r="22" spans="1:7" x14ac:dyDescent="0.25">
      <c r="A22" t="s">
        <v>14</v>
      </c>
      <c r="G22" s="14"/>
    </row>
    <row r="23" spans="1:7" x14ac:dyDescent="0.25">
      <c r="A23" t="s">
        <v>27</v>
      </c>
      <c r="G23" s="14"/>
    </row>
    <row r="24" spans="1:7" x14ac:dyDescent="0.25">
      <c r="A24" t="s">
        <v>15</v>
      </c>
      <c r="B24">
        <f>5/(5+11)</f>
        <v>0.3125</v>
      </c>
      <c r="C24" s="27" t="s">
        <v>17</v>
      </c>
      <c r="G24" s="14"/>
    </row>
    <row r="25" spans="1:7" x14ac:dyDescent="0.25">
      <c r="G25" s="14"/>
    </row>
    <row r="26" spans="1:7" x14ac:dyDescent="0.25">
      <c r="A26" s="1" t="s">
        <v>18</v>
      </c>
      <c r="B26" s="28">
        <f>200*E6</f>
        <v>183.33333333333331</v>
      </c>
      <c r="C26" s="1" t="s">
        <v>24</v>
      </c>
      <c r="D26" s="1"/>
      <c r="E26" s="1"/>
    </row>
    <row r="27" spans="1:7" x14ac:dyDescent="0.25">
      <c r="A27" s="1" t="s">
        <v>21</v>
      </c>
      <c r="B27" s="20">
        <v>0.62</v>
      </c>
      <c r="C27" s="20"/>
      <c r="D27" s="1"/>
      <c r="E27" s="1"/>
    </row>
    <row r="28" spans="1:7" x14ac:dyDescent="0.25">
      <c r="A28" s="13" t="s">
        <v>22</v>
      </c>
      <c r="B28" s="32">
        <f>190+B27*E19</f>
        <v>211.51040231942255</v>
      </c>
      <c r="C28" s="20" t="s">
        <v>25</v>
      </c>
      <c r="D28" s="1"/>
      <c r="E28" s="1"/>
    </row>
    <row r="29" spans="1:7" x14ac:dyDescent="0.25">
      <c r="A29" s="1"/>
      <c r="B29" s="20"/>
      <c r="C29" s="20"/>
      <c r="D29" s="1"/>
      <c r="E29" s="1"/>
    </row>
    <row r="30" spans="1:7" x14ac:dyDescent="0.25">
      <c r="A30" s="1" t="s">
        <v>23</v>
      </c>
      <c r="B30" s="20"/>
      <c r="C30" s="20"/>
      <c r="D30" s="1"/>
      <c r="E30" s="1"/>
    </row>
    <row r="31" spans="1:7" x14ac:dyDescent="0.25">
      <c r="A31" s="1" t="s">
        <v>26</v>
      </c>
      <c r="B31" s="20"/>
      <c r="C31" s="20"/>
      <c r="D31" s="1"/>
      <c r="E31" s="1"/>
    </row>
    <row r="32" spans="1:7" x14ac:dyDescent="0.25">
      <c r="A32" s="1"/>
      <c r="B32" s="1"/>
      <c r="C32" s="1"/>
      <c r="D32" s="1"/>
      <c r="E32" s="1"/>
    </row>
    <row r="33" spans="1:5" x14ac:dyDescent="0.25">
      <c r="A33" s="1"/>
      <c r="B33" s="1"/>
      <c r="C33" s="1"/>
      <c r="D33" s="1"/>
      <c r="E33" s="1"/>
    </row>
  </sheetData>
  <autoFilter ref="A1:J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
  <sheetViews>
    <sheetView workbookViewId="0">
      <selection activeCell="C11" sqref="C11"/>
    </sheetView>
  </sheetViews>
  <sheetFormatPr defaultRowHeight="15" x14ac:dyDescent="0.25"/>
  <cols>
    <col min="1" max="1" width="14.5703125" bestFit="1" customWidth="1"/>
    <col min="3" max="3" width="10.5703125" bestFit="1" customWidth="1"/>
  </cols>
  <sheetData>
    <row r="1" spans="1:6" x14ac:dyDescent="0.25">
      <c r="A1" t="s">
        <v>28</v>
      </c>
      <c r="B1" t="s">
        <v>29</v>
      </c>
      <c r="C1" t="s">
        <v>30</v>
      </c>
      <c r="D1" t="s">
        <v>31</v>
      </c>
      <c r="E1" t="s">
        <v>32</v>
      </c>
      <c r="F1" t="s">
        <v>33</v>
      </c>
    </row>
    <row r="2" spans="1:6" x14ac:dyDescent="0.25">
      <c r="A2">
        <v>180</v>
      </c>
      <c r="B2">
        <v>200</v>
      </c>
      <c r="C2">
        <f>A2*20</f>
        <v>3600</v>
      </c>
      <c r="D2">
        <f>B2*9</f>
        <v>1800</v>
      </c>
      <c r="E2">
        <f>(B2-A2)*4</f>
        <v>80</v>
      </c>
      <c r="F2">
        <f>C2-D2+E2</f>
        <v>1880</v>
      </c>
    </row>
    <row r="3" spans="1:6" x14ac:dyDescent="0.25">
      <c r="A3">
        <v>190</v>
      </c>
      <c r="B3">
        <v>200</v>
      </c>
      <c r="C3">
        <f>A3*20</f>
        <v>3800</v>
      </c>
      <c r="D3">
        <f>B3*9</f>
        <v>1800</v>
      </c>
      <c r="E3">
        <f>(B3-A3)*4</f>
        <v>40</v>
      </c>
      <c r="F3">
        <f>C3-D3+E3</f>
        <v>2040</v>
      </c>
    </row>
    <row r="4" spans="1:6" x14ac:dyDescent="0.25">
      <c r="A4">
        <v>200</v>
      </c>
      <c r="B4">
        <v>200</v>
      </c>
      <c r="C4">
        <f>A4*20</f>
        <v>4000</v>
      </c>
      <c r="D4">
        <f>B4*9</f>
        <v>1800</v>
      </c>
      <c r="E4">
        <f>(B4-A4)*4</f>
        <v>0</v>
      </c>
      <c r="F4">
        <f>C4-D4+E4</f>
        <v>2200</v>
      </c>
    </row>
    <row r="5" spans="1:6" x14ac:dyDescent="0.25">
      <c r="A5">
        <v>205</v>
      </c>
      <c r="B5">
        <v>200</v>
      </c>
      <c r="C5">
        <f>B5*20</f>
        <v>4000</v>
      </c>
      <c r="D5">
        <f>B5*9</f>
        <v>1800</v>
      </c>
      <c r="E5">
        <v>0</v>
      </c>
      <c r="F5">
        <f>C5-D5+E5</f>
        <v>2200</v>
      </c>
    </row>
    <row r="6" spans="1:6" x14ac:dyDescent="0.25">
      <c r="A6" s="6">
        <v>220</v>
      </c>
      <c r="B6" s="6">
        <v>200</v>
      </c>
      <c r="C6" s="6">
        <f>B6*20</f>
        <v>4000</v>
      </c>
      <c r="D6" s="6">
        <f>B6*9</f>
        <v>1800</v>
      </c>
      <c r="E6" s="6">
        <v>0</v>
      </c>
      <c r="F6" s="6">
        <f>C6-D6+E6</f>
        <v>2200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
  <sheetViews>
    <sheetView tabSelected="1" workbookViewId="0">
      <selection activeCell="B3" sqref="B3"/>
    </sheetView>
  </sheetViews>
  <sheetFormatPr defaultRowHeight="15" x14ac:dyDescent="0.25"/>
  <sheetData>
    <row r="2" spans="1:2" x14ac:dyDescent="0.25">
      <c r="A2" t="s">
        <v>34</v>
      </c>
      <c r="B2" t="s">
        <v>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 Info</vt:lpstr>
      <vt:lpstr>Work</vt:lpstr>
      <vt:lpstr>Sheet3</vt:lpstr>
      <vt:lpstr>Sheet1</vt:lpstr>
    </vt:vector>
  </TitlesOfParts>
  <Company>Presidio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Korn, Matthew</dc:creator>
  <cp:lastModifiedBy>Korn, Matthew</cp:lastModifiedBy>
  <dcterms:created xsi:type="dcterms:W3CDTF">2015-04-07T14:26:10Z</dcterms:created>
  <dcterms:modified xsi:type="dcterms:W3CDTF">2015-05-28T13:24:40Z</dcterms:modified>
</cp:coreProperties>
</file>